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admin/Documents/"/>
    </mc:Choice>
  </mc:AlternateContent>
  <xr:revisionPtr revIDLastSave="0" documentId="13_ncr:1_{E44E14BC-72AE-7346-A409-99EC36BED4A0}" xr6:coauthVersionLast="47" xr6:coauthVersionMax="47" xr10:uidLastSave="{00000000-0000-0000-0000-000000000000}"/>
  <bookViews>
    <workbookView xWindow="0" yWindow="500" windowWidth="28800" windowHeight="16020" activeTab="5" xr2:uid="{16FC9AB0-6072-784F-A5D0-3D7BDCFE2F0D}"/>
  </bookViews>
  <sheets>
    <sheet name="Q1_Country_Revenue" sheetId="1" r:id="rId1"/>
    <sheet name="Q2 Category Analysis" sheetId="2" r:id="rId2"/>
    <sheet name="Q3_AOV_Analysis" sheetId="3" r:id="rId3"/>
    <sheet name=" Q4_Monthly_Trends" sheetId="4" r:id="rId4"/>
    <sheet name="Q5_Top_Combinations" sheetId="5" r:id="rId5"/>
    <sheet name="Q6_Quantity_Revenu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5" l="1"/>
  <c r="G4" i="5"/>
  <c r="G5" i="5"/>
  <c r="G6" i="5"/>
  <c r="G7" i="5"/>
  <c r="G8" i="5"/>
  <c r="G9" i="5"/>
  <c r="G10" i="5"/>
  <c r="G11" i="5"/>
  <c r="G2" i="5"/>
  <c r="G3" i="3"/>
  <c r="G4" i="3"/>
  <c r="G5" i="3"/>
  <c r="G6" i="3"/>
  <c r="G7" i="3"/>
  <c r="G8" i="3"/>
  <c r="G9" i="3"/>
  <c r="G10" i="3"/>
  <c r="G11" i="3"/>
  <c r="G12" i="3"/>
  <c r="G13" i="3"/>
  <c r="G14" i="3"/>
  <c r="G15" i="3"/>
  <c r="G16" i="3"/>
  <c r="G2" i="3"/>
</calcChain>
</file>

<file path=xl/sharedStrings.xml><?xml version="1.0" encoding="utf-8"?>
<sst xmlns="http://schemas.openxmlformats.org/spreadsheetml/2006/main" count="119" uniqueCount="43">
  <si>
    <t>USA</t>
  </si>
  <si>
    <t>UAE</t>
  </si>
  <si>
    <t>Germany</t>
  </si>
  <si>
    <t>Brazil</t>
  </si>
  <si>
    <t>India</t>
  </si>
  <si>
    <t>Australia</t>
  </si>
  <si>
    <t>China</t>
  </si>
  <si>
    <t>Pakistan</t>
  </si>
  <si>
    <t>Canada</t>
  </si>
  <si>
    <t>UK</t>
  </si>
  <si>
    <t>orders revenue</t>
  </si>
  <si>
    <t>Share Pct</t>
  </si>
  <si>
    <t>Country Total</t>
  </si>
  <si>
    <t>Home Decor</t>
  </si>
  <si>
    <t>Grocery</t>
  </si>
  <si>
    <t>Electronics</t>
  </si>
  <si>
    <t>Fashion</t>
  </si>
  <si>
    <t>Sports</t>
  </si>
  <si>
    <t>Toys</t>
  </si>
  <si>
    <t>Beauty</t>
  </si>
  <si>
    <t>Books</t>
  </si>
  <si>
    <t>Category</t>
  </si>
  <si>
    <t>Total Units Sold</t>
  </si>
  <si>
    <t xml:space="preserve">Total Orders </t>
  </si>
  <si>
    <t>Avg Order Value</t>
  </si>
  <si>
    <t>Total Revenue</t>
  </si>
  <si>
    <t>Country</t>
  </si>
  <si>
    <t>Total Orders</t>
  </si>
  <si>
    <t>Total Value</t>
  </si>
  <si>
    <t>Year</t>
  </si>
  <si>
    <t>Month</t>
  </si>
  <si>
    <t>TotalOrders</t>
  </si>
  <si>
    <t>Avg Units Per Order</t>
  </si>
  <si>
    <t xml:space="preserve"> Total Revenue</t>
  </si>
  <si>
    <t>Market</t>
  </si>
  <si>
    <t>Key Insights</t>
  </si>
  <si>
    <r>
      <rPr>
        <b/>
        <sz val="14"/>
        <color theme="1"/>
        <rFont val="Calibri (Body)"/>
      </rPr>
      <t>Key</t>
    </r>
    <r>
      <rPr>
        <sz val="12"/>
        <color theme="1"/>
        <rFont val="Calibri"/>
        <family val="2"/>
        <scheme val="minor"/>
      </rPr>
      <t xml:space="preserve"> </t>
    </r>
    <r>
      <rPr>
        <b/>
        <sz val="14"/>
        <color theme="1"/>
        <rFont val="Calibri (Body)"/>
      </rPr>
      <t>Insights</t>
    </r>
  </si>
  <si>
    <t>The USA leads global e-commerce revenue with €206,117 and a 13.63% market share, but what's truly remarkable is how evenly distributed the remaining share is. No single country dominates, UAE, Germany, Brazil and India all sit between 10-13% each. This tells a powerful story about how e-commerce has genuinely globalized. A business launching an online store today doesn't need to focus only on Western markets, the opportunity is genuinely spread across continents, from Pakistan to Australia.</t>
  </si>
  <si>
    <t>Home Decor emerged as the unexpected champion of global e-commerce with €232,275 in revenue, beating Electronics which most people would assume leads. This reflects a broader post-pandemic shift where people continue investing in their living spaces even years after lockdowns ended. Books sit at the bottom with €158,579, not surprising given the rise of digital reading. The narrow gap between categories suggests no single product type dominates, meaning diversified e-commerce stores have a genuine advantage over niche sellers.</t>
  </si>
  <si>
    <t>UAE and Sports equipment is the highest spending combination globally at €2,088 per order, nearly double the global average. Germany appears three times in the top 15 with Electronics, Books and Grocery all commanding premium prices. This reflects something culturally interesting. German consumers are known for valuing quality and are willing to pay significantly more per purchase. For any business targeting European markets, Germany should be treated as a premium segment rather than a standard one.</t>
  </si>
  <si>
    <t>July stands out as the strongest month with €180,208 in revenue  a summer shopping surge that cuts across all geographies in this global dataset. January starts strong at €162,944 likely driven by New Year promotions and post-holiday deals. The dip in February is consistent with global retail patterns, it is universally the slowest month. November shows only 5 orders because the dataset cuts off mid-month, so it should not be interpreted as a genuine decline. For inventory and marketing planning, July and January are clearly the months to prioritize.</t>
  </si>
  <si>
    <t>Home Decor dominates the top 10 country+category combinations appearing four times. USA, Brazil, UAE and Australia all spending heavily on home products. This consistency across four very different cultures and economies confirms that Home Decor is not a regional trend but a genuine global opportunity. Pakistan + Grocery appearing in 7th place with 23 orders is interesting, it has the most transactions in the top 10 but lower revenue per order, suggesting a high frequency essential purchase pattern rather than premium luxury spending.</t>
  </si>
  <si>
    <t>Perhaps the most surprising finding in this entire project is how similar purchasing quantities are across all 10 countries everyone orders between 4.6 and 5.6 units per transaction regardless of where they live. What differs dramatically is how much they spend  UAE customers pay €1,461 per order while Canadian customers pay only €971 for a similar number of items. This means the price of what people buy varies far more than how much they buy. For a global e-commerce business this is crucial, the same product catalog can generate very different revenues simply by adjusting pricing strategy for each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</si>
</sst>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4"/>
      <color theme="1"/>
      <name val="Calibri"/>
      <family val="2"/>
      <scheme val="minor"/>
    </font>
    <font>
      <b/>
      <sz val="14"/>
      <color theme="1"/>
      <name val="Calibri (Body)"/>
    </font>
    <font>
      <i/>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 fontId="0" fillId="0" borderId="0" xfId="0" applyNumberFormat="1"/>
    <xf numFmtId="0" fontId="1" fillId="0" borderId="0" xfId="0" applyFont="1"/>
    <xf numFmtId="2" fontId="1" fillId="0" borderId="0" xfId="0" applyNumberFormat="1" applyFont="1"/>
    <xf numFmtId="0" fontId="2" fillId="0" borderId="0" xfId="0" applyFont="1"/>
    <xf numFmtId="0" fontId="0" fillId="0" borderId="0" xfId="0"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 Total Revenue by</a:t>
            </a:r>
            <a:r>
              <a:rPr lang="en-US" b="1" baseline="0"/>
              <a:t> Country </a:t>
            </a:r>
            <a:r>
              <a:rPr lang="en-GB" sz="1400" b="1" i="0" u="none" strike="noStrike" kern="1200" spc="0" baseline="0">
                <a:solidFill>
                  <a:sysClr val="windowText" lastClr="000000">
                    <a:lumMod val="65000"/>
                    <a:lumOff val="35000"/>
                  </a:sysClr>
                </a:solidFill>
              </a:rPr>
              <a:t>(€)</a:t>
            </a:r>
            <a:r>
              <a:rPr lang="en-US" b="1" baseline="0"/>
              <a:t>   </a:t>
            </a:r>
            <a:endParaRPr lang="en-US" b="1"/>
          </a:p>
        </c:rich>
      </c:tx>
      <c:layout>
        <c:manualLayout>
          <c:xMode val="edge"/>
          <c:yMode val="edge"/>
          <c:x val="0.30071654373024237"/>
          <c:y val="2.79441117764471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bar"/>
        <c:grouping val="clustered"/>
        <c:varyColors val="0"/>
        <c:ser>
          <c:idx val="0"/>
          <c:order val="0"/>
          <c:tx>
            <c:strRef>
              <c:f>Q1_Country_Revenue!$B$1</c:f>
              <c:strCache>
                <c:ptCount val="1"/>
                <c:pt idx="0">
                  <c:v> Total Revenue</c:v>
                </c:pt>
              </c:strCache>
            </c:strRef>
          </c:tx>
          <c:spPr>
            <a:solidFill>
              <a:schemeClr val="accent1"/>
            </a:solidFill>
            <a:ln>
              <a:noFill/>
            </a:ln>
            <a:effectLst/>
          </c:spPr>
          <c:invertIfNegative val="0"/>
          <c:cat>
            <c:strRef>
              <c:f>Q1_Country_Revenue!$A$2:$A$11</c:f>
              <c:strCache>
                <c:ptCount val="10"/>
                <c:pt idx="0">
                  <c:v>USA</c:v>
                </c:pt>
                <c:pt idx="1">
                  <c:v>UAE</c:v>
                </c:pt>
                <c:pt idx="2">
                  <c:v>Germany</c:v>
                </c:pt>
                <c:pt idx="3">
                  <c:v>Brazil</c:v>
                </c:pt>
                <c:pt idx="4">
                  <c:v>India</c:v>
                </c:pt>
                <c:pt idx="5">
                  <c:v>Australia</c:v>
                </c:pt>
                <c:pt idx="6">
                  <c:v>China</c:v>
                </c:pt>
                <c:pt idx="7">
                  <c:v>Pakistan</c:v>
                </c:pt>
                <c:pt idx="8">
                  <c:v>Canada</c:v>
                </c:pt>
                <c:pt idx="9">
                  <c:v>UK</c:v>
                </c:pt>
              </c:strCache>
            </c:strRef>
          </c:cat>
          <c:val>
            <c:numRef>
              <c:f>Q1_Country_Revenue!$B$2:$B$11</c:f>
              <c:numCache>
                <c:formatCode>General</c:formatCode>
                <c:ptCount val="10"/>
                <c:pt idx="0">
                  <c:v>206117.53</c:v>
                </c:pt>
                <c:pt idx="1">
                  <c:v>185632.17</c:v>
                </c:pt>
                <c:pt idx="2">
                  <c:v>165844.32999999999</c:v>
                </c:pt>
                <c:pt idx="3">
                  <c:v>162245.29999999999</c:v>
                </c:pt>
                <c:pt idx="4">
                  <c:v>152189.20000000001</c:v>
                </c:pt>
                <c:pt idx="5">
                  <c:v>151043.18</c:v>
                </c:pt>
                <c:pt idx="6">
                  <c:v>134425.70000000001</c:v>
                </c:pt>
                <c:pt idx="7">
                  <c:v>131479.73000000001</c:v>
                </c:pt>
                <c:pt idx="8">
                  <c:v>112635.93</c:v>
                </c:pt>
                <c:pt idx="9">
                  <c:v>110639.91</c:v>
                </c:pt>
              </c:numCache>
            </c:numRef>
          </c:val>
          <c:extLst>
            <c:ext xmlns:c16="http://schemas.microsoft.com/office/drawing/2014/chart" uri="{C3380CC4-5D6E-409C-BE32-E72D297353CC}">
              <c16:uniqueId val="{00000000-71A6-204C-96CA-5E8495184E5B}"/>
            </c:ext>
          </c:extLst>
        </c:ser>
        <c:dLbls>
          <c:showLegendKey val="0"/>
          <c:showVal val="0"/>
          <c:showCatName val="0"/>
          <c:showSerName val="0"/>
          <c:showPercent val="0"/>
          <c:showBubbleSize val="0"/>
        </c:dLbls>
        <c:gapWidth val="182"/>
        <c:axId val="1067146367"/>
        <c:axId val="1067148367"/>
      </c:barChart>
      <c:catAx>
        <c:axId val="1067146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1067148367"/>
        <c:crosses val="autoZero"/>
        <c:auto val="1"/>
        <c:lblAlgn val="ctr"/>
        <c:lblOffset val="100"/>
        <c:noMultiLvlLbl val="0"/>
      </c:catAx>
      <c:valAx>
        <c:axId val="1067148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1067146367"/>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 </a:t>
            </a:r>
            <a:r>
              <a:rPr lang="en-GB" sz="1400" b="1" i="0" u="none" strike="noStrike" baseline="0"/>
              <a:t>Total Revenue by Product Category (€)</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bar"/>
        <c:grouping val="clustered"/>
        <c:varyColors val="0"/>
        <c:ser>
          <c:idx val="0"/>
          <c:order val="0"/>
          <c:tx>
            <c:strRef>
              <c:f>'Q2 Category Analysis'!$D$1</c:f>
              <c:strCache>
                <c:ptCount val="1"/>
                <c:pt idx="0">
                  <c:v>Total Revenue</c:v>
                </c:pt>
              </c:strCache>
            </c:strRef>
          </c:tx>
          <c:spPr>
            <a:solidFill>
              <a:schemeClr val="accent1"/>
            </a:solidFill>
            <a:ln>
              <a:noFill/>
            </a:ln>
            <a:effectLst/>
          </c:spPr>
          <c:invertIfNegative val="0"/>
          <c:cat>
            <c:strRef>
              <c:f>'Q2 Category Analysis'!$A$1:$A$9</c:f>
              <c:strCache>
                <c:ptCount val="9"/>
                <c:pt idx="0">
                  <c:v>Category</c:v>
                </c:pt>
                <c:pt idx="1">
                  <c:v>Home Decor</c:v>
                </c:pt>
                <c:pt idx="2">
                  <c:v>Grocery</c:v>
                </c:pt>
                <c:pt idx="3">
                  <c:v>Electronics</c:v>
                </c:pt>
                <c:pt idx="4">
                  <c:v>Fashion</c:v>
                </c:pt>
                <c:pt idx="5">
                  <c:v>Sports</c:v>
                </c:pt>
                <c:pt idx="6">
                  <c:v>Toys</c:v>
                </c:pt>
                <c:pt idx="7">
                  <c:v>Beauty</c:v>
                </c:pt>
                <c:pt idx="8">
                  <c:v>Books</c:v>
                </c:pt>
              </c:strCache>
            </c:strRef>
          </c:cat>
          <c:val>
            <c:numRef>
              <c:f>'Q2 Category Analysis'!$D$2:$D$9</c:f>
              <c:numCache>
                <c:formatCode>0.00</c:formatCode>
                <c:ptCount val="8"/>
                <c:pt idx="0">
                  <c:v>232275.86</c:v>
                </c:pt>
                <c:pt idx="1">
                  <c:v>201355.28</c:v>
                </c:pt>
                <c:pt idx="2">
                  <c:v>199641.8</c:v>
                </c:pt>
                <c:pt idx="3">
                  <c:v>197469.41</c:v>
                </c:pt>
                <c:pt idx="4">
                  <c:v>181433.9</c:v>
                </c:pt>
                <c:pt idx="5">
                  <c:v>172037.93</c:v>
                </c:pt>
                <c:pt idx="6">
                  <c:v>169459.31</c:v>
                </c:pt>
                <c:pt idx="7">
                  <c:v>158579.49</c:v>
                </c:pt>
              </c:numCache>
            </c:numRef>
          </c:val>
          <c:extLst>
            <c:ext xmlns:c16="http://schemas.microsoft.com/office/drawing/2014/chart" uri="{C3380CC4-5D6E-409C-BE32-E72D297353CC}">
              <c16:uniqueId val="{00000001-5A99-B54A-AD7F-34F01F09D4D0}"/>
            </c:ext>
          </c:extLst>
        </c:ser>
        <c:dLbls>
          <c:showLegendKey val="0"/>
          <c:showVal val="0"/>
          <c:showCatName val="0"/>
          <c:showSerName val="0"/>
          <c:showPercent val="0"/>
          <c:showBubbleSize val="0"/>
        </c:dLbls>
        <c:gapWidth val="182"/>
        <c:axId val="1057659871"/>
        <c:axId val="1057290703"/>
      </c:barChart>
      <c:catAx>
        <c:axId val="1057659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1057290703"/>
        <c:crosses val="autoZero"/>
        <c:auto val="1"/>
        <c:lblAlgn val="ctr"/>
        <c:lblOffset val="100"/>
        <c:noMultiLvlLbl val="0"/>
      </c:catAx>
      <c:valAx>
        <c:axId val="10572907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1057659871"/>
        <c:crosses val="autoZero"/>
        <c:crossBetween val="between"/>
        <c:dispUnits>
          <c:builtInUnit val="ten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Average Order Value by Market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bar"/>
        <c:grouping val="clustered"/>
        <c:varyColors val="0"/>
        <c:ser>
          <c:idx val="0"/>
          <c:order val="0"/>
          <c:tx>
            <c:strRef>
              <c:f>Q3_AOV_Analysis!$D$1</c:f>
              <c:strCache>
                <c:ptCount val="1"/>
                <c:pt idx="0">
                  <c:v>Avg Order Value</c:v>
                </c:pt>
              </c:strCache>
            </c:strRef>
          </c:tx>
          <c:spPr>
            <a:solidFill>
              <a:schemeClr val="accent1"/>
            </a:solidFill>
            <a:ln>
              <a:noFill/>
            </a:ln>
            <a:effectLst/>
          </c:spPr>
          <c:invertIfNegative val="0"/>
          <c:cat>
            <c:strRef>
              <c:f>Q3_AOV_Analysis!$G$2:$G$16</c:f>
              <c:strCache>
                <c:ptCount val="15"/>
                <c:pt idx="0">
                  <c:v>UAE+Sports</c:v>
                </c:pt>
                <c:pt idx="1">
                  <c:v>Germany+Electronics</c:v>
                </c:pt>
                <c:pt idx="2">
                  <c:v>Germany+Books</c:v>
                </c:pt>
                <c:pt idx="3">
                  <c:v>USA+Beauty</c:v>
                </c:pt>
                <c:pt idx="4">
                  <c:v>Brazil+Home Decor</c:v>
                </c:pt>
                <c:pt idx="5">
                  <c:v>Brazil+Grocery</c:v>
                </c:pt>
                <c:pt idx="6">
                  <c:v>UAE+Home Decor</c:v>
                </c:pt>
                <c:pt idx="7">
                  <c:v>Germany+Grocery</c:v>
                </c:pt>
                <c:pt idx="8">
                  <c:v>UAE+Fashion</c:v>
                </c:pt>
                <c:pt idx="9">
                  <c:v>Pakistan+Electronics</c:v>
                </c:pt>
                <c:pt idx="10">
                  <c:v>China+Electronics</c:v>
                </c:pt>
                <c:pt idx="11">
                  <c:v>Australia+Home Decor</c:v>
                </c:pt>
                <c:pt idx="12">
                  <c:v>USA+Home Decor</c:v>
                </c:pt>
                <c:pt idx="13">
                  <c:v>China+Toys</c:v>
                </c:pt>
                <c:pt idx="14">
                  <c:v>USA+Electronics</c:v>
                </c:pt>
              </c:strCache>
            </c:strRef>
          </c:cat>
          <c:val>
            <c:numRef>
              <c:f>Q3_AOV_Analysis!$D$2:$D$16</c:f>
              <c:numCache>
                <c:formatCode>0.00</c:formatCode>
                <c:ptCount val="15"/>
                <c:pt idx="0">
                  <c:v>2088.5500000000002</c:v>
                </c:pt>
                <c:pt idx="1">
                  <c:v>1928.64</c:v>
                </c:pt>
                <c:pt idx="2">
                  <c:v>1817.02</c:v>
                </c:pt>
                <c:pt idx="3">
                  <c:v>1807.15</c:v>
                </c:pt>
                <c:pt idx="4">
                  <c:v>1805.35</c:v>
                </c:pt>
                <c:pt idx="5">
                  <c:v>1791.34</c:v>
                </c:pt>
                <c:pt idx="6">
                  <c:v>1779.86</c:v>
                </c:pt>
                <c:pt idx="7">
                  <c:v>1756.72</c:v>
                </c:pt>
                <c:pt idx="8">
                  <c:v>1754.65</c:v>
                </c:pt>
                <c:pt idx="9">
                  <c:v>1746.04</c:v>
                </c:pt>
                <c:pt idx="10">
                  <c:v>1724.48</c:v>
                </c:pt>
                <c:pt idx="11">
                  <c:v>1638.69</c:v>
                </c:pt>
                <c:pt idx="12">
                  <c:v>1632.12</c:v>
                </c:pt>
                <c:pt idx="13">
                  <c:v>1600.76</c:v>
                </c:pt>
                <c:pt idx="14">
                  <c:v>1518.71</c:v>
                </c:pt>
              </c:numCache>
            </c:numRef>
          </c:val>
          <c:extLst>
            <c:ext xmlns:c16="http://schemas.microsoft.com/office/drawing/2014/chart" uri="{C3380CC4-5D6E-409C-BE32-E72D297353CC}">
              <c16:uniqueId val="{00000001-AE90-194E-BD07-52588C7E39B7}"/>
            </c:ext>
          </c:extLst>
        </c:ser>
        <c:dLbls>
          <c:showLegendKey val="0"/>
          <c:showVal val="0"/>
          <c:showCatName val="0"/>
          <c:showSerName val="0"/>
          <c:showPercent val="0"/>
          <c:showBubbleSize val="0"/>
        </c:dLbls>
        <c:gapWidth val="182"/>
        <c:axId val="1110940719"/>
        <c:axId val="1109436879"/>
      </c:barChart>
      <c:catAx>
        <c:axId val="111094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1109436879"/>
        <c:crosses val="autoZero"/>
        <c:auto val="1"/>
        <c:lblAlgn val="ctr"/>
        <c:lblOffset val="100"/>
        <c:noMultiLvlLbl val="0"/>
      </c:catAx>
      <c:valAx>
        <c:axId val="11094368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1110940719"/>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Monthly Revenue Trend 2025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lineChart>
        <c:grouping val="standard"/>
        <c:varyColors val="0"/>
        <c:ser>
          <c:idx val="0"/>
          <c:order val="0"/>
          <c:tx>
            <c:strRef>
              <c:f>' Q4_Monthly_Trends'!$D$1</c:f>
              <c:strCache>
                <c:ptCount val="1"/>
                <c:pt idx="0">
                  <c:v>Total Revenue</c:v>
                </c:pt>
              </c:strCache>
            </c:strRef>
          </c:tx>
          <c:spPr>
            <a:ln w="28575" cap="rnd">
              <a:solidFill>
                <a:schemeClr val="accent1"/>
              </a:solidFill>
              <a:round/>
            </a:ln>
            <a:effectLst/>
          </c:spPr>
          <c:marker>
            <c:symbol val="none"/>
          </c:marker>
          <c:cat>
            <c:strRef>
              <c:f>' Q4_Monthly_Trends'!$B$1:$B$12</c:f>
              <c:strCache>
                <c:ptCount val="12"/>
                <c:pt idx="0">
                  <c:v>Month</c:v>
                </c:pt>
                <c:pt idx="1">
                  <c:v>1</c:v>
                </c:pt>
                <c:pt idx="2">
                  <c:v>2</c:v>
                </c:pt>
                <c:pt idx="3">
                  <c:v>3</c:v>
                </c:pt>
                <c:pt idx="4">
                  <c:v>4</c:v>
                </c:pt>
                <c:pt idx="5">
                  <c:v>5</c:v>
                </c:pt>
                <c:pt idx="6">
                  <c:v>6</c:v>
                </c:pt>
                <c:pt idx="7">
                  <c:v>7</c:v>
                </c:pt>
                <c:pt idx="8">
                  <c:v>8</c:v>
                </c:pt>
                <c:pt idx="9">
                  <c:v>9</c:v>
                </c:pt>
                <c:pt idx="10">
                  <c:v>10</c:v>
                </c:pt>
                <c:pt idx="11">
                  <c:v>11</c:v>
                </c:pt>
              </c:strCache>
            </c:strRef>
          </c:cat>
          <c:val>
            <c:numRef>
              <c:f>' Q4_Monthly_Trends'!$D$2:$D$11</c:f>
              <c:numCache>
                <c:formatCode>0.00</c:formatCode>
                <c:ptCount val="10"/>
                <c:pt idx="0">
                  <c:v>162944.57999999999</c:v>
                </c:pt>
                <c:pt idx="1">
                  <c:v>127450.66</c:v>
                </c:pt>
                <c:pt idx="2">
                  <c:v>141141.78</c:v>
                </c:pt>
                <c:pt idx="3">
                  <c:v>158166.28</c:v>
                </c:pt>
                <c:pt idx="4">
                  <c:v>160141.26</c:v>
                </c:pt>
                <c:pt idx="5">
                  <c:v>138792.41</c:v>
                </c:pt>
                <c:pt idx="6">
                  <c:v>180208.16</c:v>
                </c:pt>
                <c:pt idx="7">
                  <c:v>137276.89000000001</c:v>
                </c:pt>
                <c:pt idx="8">
                  <c:v>135177.5</c:v>
                </c:pt>
                <c:pt idx="9">
                  <c:v>158668.22</c:v>
                </c:pt>
              </c:numCache>
            </c:numRef>
          </c:val>
          <c:smooth val="0"/>
          <c:extLst>
            <c:ext xmlns:c16="http://schemas.microsoft.com/office/drawing/2014/chart" uri="{C3380CC4-5D6E-409C-BE32-E72D297353CC}">
              <c16:uniqueId val="{00000001-0A23-0E47-A9C8-F586DCF13D7E}"/>
            </c:ext>
          </c:extLst>
        </c:ser>
        <c:dLbls>
          <c:showLegendKey val="0"/>
          <c:showVal val="0"/>
          <c:showCatName val="0"/>
          <c:showSerName val="0"/>
          <c:showPercent val="0"/>
          <c:showBubbleSize val="0"/>
        </c:dLbls>
        <c:smooth val="0"/>
        <c:axId val="1067054959"/>
        <c:axId val="1066945583"/>
      </c:lineChart>
      <c:catAx>
        <c:axId val="106705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1066945583"/>
        <c:crosses val="autoZero"/>
        <c:auto val="1"/>
        <c:lblAlgn val="ctr"/>
        <c:lblOffset val="100"/>
        <c:noMultiLvlLbl val="0"/>
      </c:catAx>
      <c:valAx>
        <c:axId val="1066945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1067054959"/>
        <c:crosses val="autoZero"/>
        <c:crossBetween val="between"/>
        <c:dispUnits>
          <c:builtInUnit val="ten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Top Country + Category Combinations by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bar"/>
        <c:grouping val="clustered"/>
        <c:varyColors val="0"/>
        <c:ser>
          <c:idx val="0"/>
          <c:order val="0"/>
          <c:tx>
            <c:strRef>
              <c:f>Q5_Top_Combinations!$C$1</c:f>
              <c:strCache>
                <c:ptCount val="1"/>
                <c:pt idx="0">
                  <c:v>Total Revenue</c:v>
                </c:pt>
              </c:strCache>
            </c:strRef>
          </c:tx>
          <c:spPr>
            <a:solidFill>
              <a:schemeClr val="accent1"/>
            </a:solidFill>
            <a:ln>
              <a:noFill/>
            </a:ln>
            <a:effectLst/>
          </c:spPr>
          <c:invertIfNegative val="0"/>
          <c:cat>
            <c:strRef>
              <c:f>Q5_Top_Combinations!$G$2:$G$11</c:f>
              <c:strCache>
                <c:ptCount val="10"/>
                <c:pt idx="0">
                  <c:v>USA+Home Decor</c:v>
                </c:pt>
                <c:pt idx="1">
                  <c:v>Brazil+Home Decor</c:v>
                </c:pt>
                <c:pt idx="2">
                  <c:v>UAE+Home Decor</c:v>
                </c:pt>
                <c:pt idx="3">
                  <c:v>Brazil+Grocery</c:v>
                </c:pt>
                <c:pt idx="4">
                  <c:v>USA+Beauty</c:v>
                </c:pt>
                <c:pt idx="5">
                  <c:v>UAE+Fashion</c:v>
                </c:pt>
                <c:pt idx="6">
                  <c:v>Pakistan+Grocery</c:v>
                </c:pt>
                <c:pt idx="7">
                  <c:v>Australia+Home Decor</c:v>
                </c:pt>
                <c:pt idx="8">
                  <c:v>India+Toys</c:v>
                </c:pt>
                <c:pt idx="9">
                  <c:v>USA+Electronics</c:v>
                </c:pt>
              </c:strCache>
            </c:strRef>
          </c:cat>
          <c:val>
            <c:numRef>
              <c:f>Q5_Top_Combinations!$C$2:$C$11</c:f>
              <c:numCache>
                <c:formatCode>General</c:formatCode>
                <c:ptCount val="10"/>
                <c:pt idx="0">
                  <c:v>39170.910000000003</c:v>
                </c:pt>
                <c:pt idx="1">
                  <c:v>34301.58</c:v>
                </c:pt>
                <c:pt idx="2">
                  <c:v>33817.269999999997</c:v>
                </c:pt>
                <c:pt idx="3">
                  <c:v>32244.06</c:v>
                </c:pt>
                <c:pt idx="4">
                  <c:v>30721.58</c:v>
                </c:pt>
                <c:pt idx="5">
                  <c:v>29829</c:v>
                </c:pt>
                <c:pt idx="6">
                  <c:v>28165.42</c:v>
                </c:pt>
                <c:pt idx="7">
                  <c:v>27857.75</c:v>
                </c:pt>
                <c:pt idx="8">
                  <c:v>27492.62</c:v>
                </c:pt>
                <c:pt idx="9">
                  <c:v>27336.720000000001</c:v>
                </c:pt>
              </c:numCache>
            </c:numRef>
          </c:val>
          <c:extLst>
            <c:ext xmlns:c16="http://schemas.microsoft.com/office/drawing/2014/chart" uri="{C3380CC4-5D6E-409C-BE32-E72D297353CC}">
              <c16:uniqueId val="{00000001-4A48-5F4F-907B-AC3A3070002F}"/>
            </c:ext>
          </c:extLst>
        </c:ser>
        <c:dLbls>
          <c:showLegendKey val="0"/>
          <c:showVal val="0"/>
          <c:showCatName val="0"/>
          <c:showSerName val="0"/>
          <c:showPercent val="0"/>
          <c:showBubbleSize val="0"/>
        </c:dLbls>
        <c:gapWidth val="182"/>
        <c:axId val="1124595999"/>
        <c:axId val="1124461471"/>
      </c:barChart>
      <c:catAx>
        <c:axId val="112459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1124461471"/>
        <c:crosses val="autoZero"/>
        <c:auto val="1"/>
        <c:lblAlgn val="ctr"/>
        <c:lblOffset val="100"/>
        <c:noMultiLvlLbl val="0"/>
      </c:catAx>
      <c:valAx>
        <c:axId val="1124461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1124595999"/>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Total Units Sold vs Revenue by Country</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bar"/>
        <c:grouping val="clustered"/>
        <c:varyColors val="0"/>
        <c:ser>
          <c:idx val="0"/>
          <c:order val="0"/>
          <c:tx>
            <c:strRef>
              <c:f>Q6_Quantity_Revenue!$B$1</c:f>
              <c:strCache>
                <c:ptCount val="1"/>
                <c:pt idx="0">
                  <c:v>Total Units Sold</c:v>
                </c:pt>
              </c:strCache>
            </c:strRef>
          </c:tx>
          <c:spPr>
            <a:solidFill>
              <a:schemeClr val="accent1"/>
            </a:solidFill>
            <a:ln>
              <a:noFill/>
            </a:ln>
            <a:effectLst/>
          </c:spPr>
          <c:invertIfNegative val="0"/>
          <c:cat>
            <c:strRef>
              <c:f>Q6_Quantity_Revenue!$A$2:$A$11</c:f>
              <c:strCache>
                <c:ptCount val="10"/>
                <c:pt idx="0">
                  <c:v>USA</c:v>
                </c:pt>
                <c:pt idx="1">
                  <c:v>UAE</c:v>
                </c:pt>
                <c:pt idx="2">
                  <c:v>India</c:v>
                </c:pt>
                <c:pt idx="3">
                  <c:v>Brazil</c:v>
                </c:pt>
                <c:pt idx="4">
                  <c:v>Australia</c:v>
                </c:pt>
                <c:pt idx="5">
                  <c:v>Germany</c:v>
                </c:pt>
                <c:pt idx="6">
                  <c:v>China</c:v>
                </c:pt>
                <c:pt idx="7">
                  <c:v>Canada</c:v>
                </c:pt>
                <c:pt idx="8">
                  <c:v>Pakistan</c:v>
                </c:pt>
                <c:pt idx="9">
                  <c:v>UK</c:v>
                </c:pt>
              </c:strCache>
            </c:strRef>
          </c:cat>
          <c:val>
            <c:numRef>
              <c:f>Q6_Quantity_Revenue!$B$2:$B$11</c:f>
              <c:numCache>
                <c:formatCode>General</c:formatCode>
                <c:ptCount val="10"/>
                <c:pt idx="0">
                  <c:v>723</c:v>
                </c:pt>
                <c:pt idx="1">
                  <c:v>705</c:v>
                </c:pt>
                <c:pt idx="2">
                  <c:v>653</c:v>
                </c:pt>
                <c:pt idx="3">
                  <c:v>624</c:v>
                </c:pt>
                <c:pt idx="4">
                  <c:v>610</c:v>
                </c:pt>
                <c:pt idx="5">
                  <c:v>598</c:v>
                </c:pt>
                <c:pt idx="6">
                  <c:v>531</c:v>
                </c:pt>
                <c:pt idx="7">
                  <c:v>531</c:v>
                </c:pt>
                <c:pt idx="8">
                  <c:v>520</c:v>
                </c:pt>
                <c:pt idx="9">
                  <c:v>513</c:v>
                </c:pt>
              </c:numCache>
            </c:numRef>
          </c:val>
          <c:extLst>
            <c:ext xmlns:c16="http://schemas.microsoft.com/office/drawing/2014/chart" uri="{C3380CC4-5D6E-409C-BE32-E72D297353CC}">
              <c16:uniqueId val="{00000000-3A6D-9148-BC5D-D61DD36F09E5}"/>
            </c:ext>
          </c:extLst>
        </c:ser>
        <c:dLbls>
          <c:showLegendKey val="0"/>
          <c:showVal val="0"/>
          <c:showCatName val="0"/>
          <c:showSerName val="0"/>
          <c:showPercent val="0"/>
          <c:showBubbleSize val="0"/>
        </c:dLbls>
        <c:gapWidth val="182"/>
        <c:axId val="1110370431"/>
        <c:axId val="1073585615"/>
      </c:barChart>
      <c:catAx>
        <c:axId val="1110370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1073585615"/>
        <c:crosses val="autoZero"/>
        <c:auto val="1"/>
        <c:lblAlgn val="ctr"/>
        <c:lblOffset val="100"/>
        <c:noMultiLvlLbl val="0"/>
      </c:catAx>
      <c:valAx>
        <c:axId val="1073585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111037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730250</xdr:colOff>
      <xdr:row>0</xdr:row>
      <xdr:rowOff>0</xdr:rowOff>
    </xdr:from>
    <xdr:to>
      <xdr:col>13</xdr:col>
      <xdr:colOff>152400</xdr:colOff>
      <xdr:row>15</xdr:row>
      <xdr:rowOff>95250</xdr:rowOff>
    </xdr:to>
    <xdr:graphicFrame macro="">
      <xdr:nvGraphicFramePr>
        <xdr:cNvPr id="2" name="Chart 1">
          <a:extLst>
            <a:ext uri="{FF2B5EF4-FFF2-40B4-BE49-F238E27FC236}">
              <a16:creationId xmlns:a16="http://schemas.microsoft.com/office/drawing/2014/main" id="{D4B57C63-54F6-ED08-D4EF-88805CB3C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495300</xdr:colOff>
      <xdr:row>0</xdr:row>
      <xdr:rowOff>215900</xdr:rowOff>
    </xdr:from>
    <xdr:to>
      <xdr:col>13</xdr:col>
      <xdr:colOff>685800</xdr:colOff>
      <xdr:row>12</xdr:row>
      <xdr:rowOff>2908300</xdr:rowOff>
    </xdr:to>
    <xdr:graphicFrame macro="">
      <xdr:nvGraphicFramePr>
        <xdr:cNvPr id="2" name="Chart 1">
          <a:extLst>
            <a:ext uri="{FF2B5EF4-FFF2-40B4-BE49-F238E27FC236}">
              <a16:creationId xmlns:a16="http://schemas.microsoft.com/office/drawing/2014/main" id="{322EDFB0-4F00-B496-6C5B-887734BA1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228600</xdr:colOff>
      <xdr:row>1</xdr:row>
      <xdr:rowOff>50800</xdr:rowOff>
    </xdr:from>
    <xdr:to>
      <xdr:col>14</xdr:col>
      <xdr:colOff>787400</xdr:colOff>
      <xdr:row>19</xdr:row>
      <xdr:rowOff>1193800</xdr:rowOff>
    </xdr:to>
    <xdr:graphicFrame macro="">
      <xdr:nvGraphicFramePr>
        <xdr:cNvPr id="2" name="Chart 1">
          <a:extLst>
            <a:ext uri="{FF2B5EF4-FFF2-40B4-BE49-F238E27FC236}">
              <a16:creationId xmlns:a16="http://schemas.microsoft.com/office/drawing/2014/main" id="{35BDB38E-9CAF-06B7-1B02-A36C2BC8E9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330200</xdr:colOff>
      <xdr:row>2</xdr:row>
      <xdr:rowOff>127000</xdr:rowOff>
    </xdr:from>
    <xdr:to>
      <xdr:col>15</xdr:col>
      <xdr:colOff>673100</xdr:colOff>
      <xdr:row>15</xdr:row>
      <xdr:rowOff>1866900</xdr:rowOff>
    </xdr:to>
    <xdr:graphicFrame macro="">
      <xdr:nvGraphicFramePr>
        <xdr:cNvPr id="2" name="Chart 1">
          <a:extLst>
            <a:ext uri="{FF2B5EF4-FFF2-40B4-BE49-F238E27FC236}">
              <a16:creationId xmlns:a16="http://schemas.microsoft.com/office/drawing/2014/main" id="{1FBAADBF-C712-A4B0-185E-F7B0942C3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76200</xdr:colOff>
      <xdr:row>3</xdr:row>
      <xdr:rowOff>165100</xdr:rowOff>
    </xdr:from>
    <xdr:to>
      <xdr:col>14</xdr:col>
      <xdr:colOff>304800</xdr:colOff>
      <xdr:row>14</xdr:row>
      <xdr:rowOff>2273300</xdr:rowOff>
    </xdr:to>
    <xdr:graphicFrame macro="">
      <xdr:nvGraphicFramePr>
        <xdr:cNvPr id="2" name="Chart 1">
          <a:extLst>
            <a:ext uri="{FF2B5EF4-FFF2-40B4-BE49-F238E27FC236}">
              <a16:creationId xmlns:a16="http://schemas.microsoft.com/office/drawing/2014/main" id="{2BE99421-4A9C-DA5A-EE5B-844D6B855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146050</xdr:colOff>
      <xdr:row>1</xdr:row>
      <xdr:rowOff>152400</xdr:rowOff>
    </xdr:from>
    <xdr:to>
      <xdr:col>13</xdr:col>
      <xdr:colOff>698500</xdr:colOff>
      <xdr:row>14</xdr:row>
      <xdr:rowOff>2025650</xdr:rowOff>
    </xdr:to>
    <xdr:graphicFrame macro="">
      <xdr:nvGraphicFramePr>
        <xdr:cNvPr id="2" name="Chart 1">
          <a:extLst>
            <a:ext uri="{FF2B5EF4-FFF2-40B4-BE49-F238E27FC236}">
              <a16:creationId xmlns:a16="http://schemas.microsoft.com/office/drawing/2014/main" id="{D6A90293-5698-EF9B-638C-FFF7931F59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67A5E-4417-CD42-90FA-A49CBDCD0D68}">
  <dimension ref="A1:D15"/>
  <sheetViews>
    <sheetView workbookViewId="0">
      <selection activeCell="A15" sqref="A15"/>
    </sheetView>
  </sheetViews>
  <sheetFormatPr baseColWidth="10" defaultRowHeight="16" x14ac:dyDescent="0.2"/>
  <cols>
    <col min="1" max="1" width="45" bestFit="1" customWidth="1"/>
    <col min="2" max="2" width="15.83203125" bestFit="1" customWidth="1"/>
    <col min="3" max="3" width="16.5" bestFit="1" customWidth="1"/>
    <col min="4" max="4" width="10.83203125" style="1"/>
  </cols>
  <sheetData>
    <row r="1" spans="1:4" ht="19" x14ac:dyDescent="0.25">
      <c r="A1" s="2" t="s">
        <v>12</v>
      </c>
      <c r="B1" s="2" t="s">
        <v>33</v>
      </c>
      <c r="C1" s="2" t="s">
        <v>10</v>
      </c>
      <c r="D1" s="3" t="s">
        <v>11</v>
      </c>
    </row>
    <row r="2" spans="1:4" x14ac:dyDescent="0.2">
      <c r="A2" t="s">
        <v>0</v>
      </c>
      <c r="B2">
        <v>206117.53</v>
      </c>
      <c r="C2">
        <v>143</v>
      </c>
      <c r="D2" s="1">
        <v>13.63</v>
      </c>
    </row>
    <row r="3" spans="1:4" x14ac:dyDescent="0.2">
      <c r="A3" t="s">
        <v>1</v>
      </c>
      <c r="B3">
        <v>185632.17</v>
      </c>
      <c r="C3">
        <v>127</v>
      </c>
      <c r="D3" s="1">
        <v>12.28</v>
      </c>
    </row>
    <row r="4" spans="1:4" x14ac:dyDescent="0.2">
      <c r="A4" t="s">
        <v>2</v>
      </c>
      <c r="B4">
        <v>165844.32999999999</v>
      </c>
      <c r="C4">
        <v>118</v>
      </c>
      <c r="D4" s="1">
        <v>10.97</v>
      </c>
    </row>
    <row r="5" spans="1:4" x14ac:dyDescent="0.2">
      <c r="A5" t="s">
        <v>3</v>
      </c>
      <c r="B5">
        <v>162245.29999999999</v>
      </c>
      <c r="C5">
        <v>123</v>
      </c>
      <c r="D5" s="1">
        <v>10.73</v>
      </c>
    </row>
    <row r="6" spans="1:4" x14ac:dyDescent="0.2">
      <c r="A6" t="s">
        <v>4</v>
      </c>
      <c r="B6">
        <v>152189.20000000001</v>
      </c>
      <c r="C6">
        <v>130</v>
      </c>
      <c r="D6" s="1">
        <v>10.06</v>
      </c>
    </row>
    <row r="7" spans="1:4" x14ac:dyDescent="0.2">
      <c r="A7" t="s">
        <v>5</v>
      </c>
      <c r="B7">
        <v>151043.18</v>
      </c>
      <c r="C7">
        <v>120</v>
      </c>
      <c r="D7" s="1">
        <v>9.99</v>
      </c>
    </row>
    <row r="8" spans="1:4" x14ac:dyDescent="0.2">
      <c r="A8" t="s">
        <v>6</v>
      </c>
      <c r="B8">
        <v>134425.70000000001</v>
      </c>
      <c r="C8">
        <v>108</v>
      </c>
      <c r="D8" s="1">
        <v>8.89</v>
      </c>
    </row>
    <row r="9" spans="1:4" x14ac:dyDescent="0.2">
      <c r="A9" t="s">
        <v>7</v>
      </c>
      <c r="B9">
        <v>131479.73000000001</v>
      </c>
      <c r="C9">
        <v>111</v>
      </c>
      <c r="D9" s="1">
        <v>8.69</v>
      </c>
    </row>
    <row r="10" spans="1:4" x14ac:dyDescent="0.2">
      <c r="A10" t="s">
        <v>8</v>
      </c>
      <c r="B10">
        <v>112635.93</v>
      </c>
      <c r="C10">
        <v>116</v>
      </c>
      <c r="D10" s="1">
        <v>7.45</v>
      </c>
    </row>
    <row r="11" spans="1:4" x14ac:dyDescent="0.2">
      <c r="A11" t="s">
        <v>9</v>
      </c>
      <c r="B11">
        <v>110639.91</v>
      </c>
      <c r="C11">
        <v>104</v>
      </c>
      <c r="D11" s="1">
        <v>7.32</v>
      </c>
    </row>
    <row r="13" spans="1:4" ht="19" x14ac:dyDescent="0.25">
      <c r="A13" s="4" t="s">
        <v>35</v>
      </c>
    </row>
    <row r="15" spans="1:4" ht="187" x14ac:dyDescent="0.2">
      <c r="A15" s="5" t="s">
        <v>37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AA39A-90E4-E34E-AA8A-2599FA7E5C99}">
  <dimension ref="A1:I13"/>
  <sheetViews>
    <sheetView workbookViewId="0">
      <selection activeCell="A13" sqref="A13"/>
    </sheetView>
  </sheetViews>
  <sheetFormatPr baseColWidth="10" defaultRowHeight="16" x14ac:dyDescent="0.2"/>
  <cols>
    <col min="1" max="1" width="30.33203125" customWidth="1"/>
    <col min="2" max="2" width="16.83203125" bestFit="1" customWidth="1"/>
    <col min="3" max="3" width="13.83203125" bestFit="1" customWidth="1"/>
    <col min="4" max="4" width="15.33203125" style="1" bestFit="1" customWidth="1"/>
    <col min="5" max="5" width="17.1640625" bestFit="1" customWidth="1"/>
  </cols>
  <sheetData>
    <row r="1" spans="1:9" ht="19" x14ac:dyDescent="0.25">
      <c r="A1" s="2" t="s">
        <v>21</v>
      </c>
      <c r="B1" s="2" t="s">
        <v>22</v>
      </c>
      <c r="C1" s="2" t="s">
        <v>23</v>
      </c>
      <c r="D1" s="3" t="s">
        <v>25</v>
      </c>
      <c r="E1" s="2" t="s">
        <v>24</v>
      </c>
    </row>
    <row r="2" spans="1:9" x14ac:dyDescent="0.2">
      <c r="A2" t="s">
        <v>13</v>
      </c>
      <c r="B2">
        <v>836</v>
      </c>
      <c r="C2">
        <v>161</v>
      </c>
      <c r="D2" s="1">
        <v>232275.86</v>
      </c>
      <c r="E2">
        <v>1442.71</v>
      </c>
    </row>
    <row r="3" spans="1:9" x14ac:dyDescent="0.2">
      <c r="A3" t="s">
        <v>14</v>
      </c>
      <c r="B3">
        <v>789</v>
      </c>
      <c r="C3">
        <v>149</v>
      </c>
      <c r="D3" s="1">
        <v>201355.28</v>
      </c>
      <c r="E3">
        <v>1351.38</v>
      </c>
    </row>
    <row r="4" spans="1:9" x14ac:dyDescent="0.2">
      <c r="A4" t="s">
        <v>15</v>
      </c>
      <c r="B4">
        <v>727</v>
      </c>
      <c r="C4">
        <v>154</v>
      </c>
      <c r="D4" s="1">
        <v>199641.8</v>
      </c>
      <c r="E4">
        <v>1296.3800000000001</v>
      </c>
    </row>
    <row r="5" spans="1:9" x14ac:dyDescent="0.2">
      <c r="A5" t="s">
        <v>16</v>
      </c>
      <c r="B5">
        <v>818</v>
      </c>
      <c r="C5">
        <v>160</v>
      </c>
      <c r="D5" s="1">
        <v>197469.41</v>
      </c>
      <c r="E5">
        <v>1234.18</v>
      </c>
      <c r="H5" s="1"/>
      <c r="I5" s="1"/>
    </row>
    <row r="6" spans="1:9" x14ac:dyDescent="0.2">
      <c r="A6" t="s">
        <v>17</v>
      </c>
      <c r="B6">
        <v>780</v>
      </c>
      <c r="C6">
        <v>147</v>
      </c>
      <c r="D6" s="1">
        <v>181433.9</v>
      </c>
      <c r="E6">
        <v>1234.24</v>
      </c>
      <c r="H6" s="1"/>
      <c r="I6" s="1"/>
    </row>
    <row r="7" spans="1:9" x14ac:dyDescent="0.2">
      <c r="A7" t="s">
        <v>18</v>
      </c>
      <c r="B7">
        <v>728</v>
      </c>
      <c r="C7">
        <v>145</v>
      </c>
      <c r="D7" s="1">
        <v>172037.93</v>
      </c>
      <c r="E7">
        <v>1186.47</v>
      </c>
      <c r="H7" s="1"/>
      <c r="I7" s="1"/>
    </row>
    <row r="8" spans="1:9" x14ac:dyDescent="0.2">
      <c r="A8" t="s">
        <v>19</v>
      </c>
      <c r="B8">
        <v>713</v>
      </c>
      <c r="C8">
        <v>148</v>
      </c>
      <c r="D8" s="1">
        <v>169459.31</v>
      </c>
      <c r="E8">
        <v>1145</v>
      </c>
      <c r="H8" s="1"/>
      <c r="I8" s="1"/>
    </row>
    <row r="9" spans="1:9" x14ac:dyDescent="0.2">
      <c r="A9" t="s">
        <v>20</v>
      </c>
      <c r="B9">
        <v>617</v>
      </c>
      <c r="C9">
        <v>136</v>
      </c>
      <c r="D9" s="1">
        <v>158579.49</v>
      </c>
      <c r="E9">
        <v>1166.03</v>
      </c>
      <c r="H9" s="1"/>
      <c r="I9" s="1"/>
    </row>
    <row r="10" spans="1:9" x14ac:dyDescent="0.2">
      <c r="H10" s="1"/>
      <c r="I10" s="1"/>
    </row>
    <row r="11" spans="1:9" ht="19" x14ac:dyDescent="0.25">
      <c r="A11" s="4" t="s">
        <v>35</v>
      </c>
      <c r="H11" s="1"/>
      <c r="I11" s="1"/>
    </row>
    <row r="12" spans="1:9" x14ac:dyDescent="0.2">
      <c r="H12" s="1"/>
      <c r="I12" s="1"/>
    </row>
    <row r="13" spans="1:9" ht="289" x14ac:dyDescent="0.2">
      <c r="A13" s="5" t="s">
        <v>38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B40BF-B3A9-7043-BE8D-6F30AC8FAF4D}">
  <dimension ref="A1:G20"/>
  <sheetViews>
    <sheetView workbookViewId="0">
      <selection activeCell="A20" sqref="A20"/>
    </sheetView>
  </sheetViews>
  <sheetFormatPr baseColWidth="10" defaultRowHeight="16" x14ac:dyDescent="0.2"/>
  <cols>
    <col min="1" max="1" width="31.33203125" customWidth="1"/>
    <col min="3" max="3" width="13.33203125" bestFit="1" customWidth="1"/>
    <col min="4" max="4" width="17.1640625" style="1" bestFit="1" customWidth="1"/>
    <col min="5" max="5" width="12.1640625" bestFit="1" customWidth="1"/>
    <col min="7" max="7" width="19.6640625" bestFit="1" customWidth="1"/>
  </cols>
  <sheetData>
    <row r="1" spans="1:7" ht="19" x14ac:dyDescent="0.25">
      <c r="A1" s="2" t="s">
        <v>26</v>
      </c>
      <c r="B1" s="2" t="s">
        <v>21</v>
      </c>
      <c r="C1" s="2" t="s">
        <v>27</v>
      </c>
      <c r="D1" s="3" t="s">
        <v>24</v>
      </c>
      <c r="E1" s="2" t="s">
        <v>28</v>
      </c>
      <c r="G1" s="2" t="s">
        <v>34</v>
      </c>
    </row>
    <row r="2" spans="1:7" x14ac:dyDescent="0.2">
      <c r="A2" t="s">
        <v>1</v>
      </c>
      <c r="B2" t="s">
        <v>17</v>
      </c>
      <c r="C2">
        <v>13</v>
      </c>
      <c r="D2" s="1">
        <v>2088.5500000000002</v>
      </c>
      <c r="E2">
        <v>27151.18</v>
      </c>
      <c r="G2" t="str">
        <f>A2&amp;"+"&amp;B2</f>
        <v>UAE+Sports</v>
      </c>
    </row>
    <row r="3" spans="1:7" x14ac:dyDescent="0.2">
      <c r="A3" t="s">
        <v>2</v>
      </c>
      <c r="B3" t="s">
        <v>15</v>
      </c>
      <c r="C3">
        <v>10</v>
      </c>
      <c r="D3" s="1">
        <v>1928.64</v>
      </c>
      <c r="E3">
        <v>19286.39</v>
      </c>
      <c r="G3" t="str">
        <f t="shared" ref="G3:G16" si="0">A3&amp;"+"&amp;B3</f>
        <v>Germany+Electronics</v>
      </c>
    </row>
    <row r="4" spans="1:7" x14ac:dyDescent="0.2">
      <c r="A4" t="s">
        <v>2</v>
      </c>
      <c r="B4" t="s">
        <v>20</v>
      </c>
      <c r="C4">
        <v>12</v>
      </c>
      <c r="D4" s="1">
        <v>1817.02</v>
      </c>
      <c r="E4">
        <v>21804.2</v>
      </c>
      <c r="G4" t="str">
        <f t="shared" si="0"/>
        <v>Germany+Books</v>
      </c>
    </row>
    <row r="5" spans="1:7" x14ac:dyDescent="0.2">
      <c r="A5" t="s">
        <v>0</v>
      </c>
      <c r="B5" t="s">
        <v>19</v>
      </c>
      <c r="C5">
        <v>17</v>
      </c>
      <c r="D5" s="1">
        <v>1807.15</v>
      </c>
      <c r="E5">
        <v>30721.58</v>
      </c>
      <c r="G5" t="str">
        <f t="shared" si="0"/>
        <v>USA+Beauty</v>
      </c>
    </row>
    <row r="6" spans="1:7" x14ac:dyDescent="0.2">
      <c r="A6" t="s">
        <v>3</v>
      </c>
      <c r="B6" t="s">
        <v>13</v>
      </c>
      <c r="C6">
        <v>19</v>
      </c>
      <c r="D6" s="1">
        <v>1805.35</v>
      </c>
      <c r="E6">
        <v>34301.58</v>
      </c>
      <c r="G6" t="str">
        <f t="shared" si="0"/>
        <v>Brazil+Home Decor</v>
      </c>
    </row>
    <row r="7" spans="1:7" x14ac:dyDescent="0.2">
      <c r="A7" t="s">
        <v>3</v>
      </c>
      <c r="B7" t="s">
        <v>14</v>
      </c>
      <c r="C7">
        <v>18</v>
      </c>
      <c r="D7" s="1">
        <v>1791.34</v>
      </c>
      <c r="E7">
        <v>32244.06</v>
      </c>
      <c r="G7" t="str">
        <f t="shared" si="0"/>
        <v>Brazil+Grocery</v>
      </c>
    </row>
    <row r="8" spans="1:7" x14ac:dyDescent="0.2">
      <c r="A8" t="s">
        <v>1</v>
      </c>
      <c r="B8" t="s">
        <v>13</v>
      </c>
      <c r="C8">
        <v>19</v>
      </c>
      <c r="D8" s="1">
        <v>1779.86</v>
      </c>
      <c r="E8">
        <v>33817.269999999997</v>
      </c>
      <c r="G8" t="str">
        <f t="shared" si="0"/>
        <v>UAE+Home Decor</v>
      </c>
    </row>
    <row r="9" spans="1:7" x14ac:dyDescent="0.2">
      <c r="A9" t="s">
        <v>2</v>
      </c>
      <c r="B9" t="s">
        <v>14</v>
      </c>
      <c r="C9">
        <v>14</v>
      </c>
      <c r="D9" s="1">
        <v>1756.72</v>
      </c>
      <c r="E9">
        <v>24594.11</v>
      </c>
      <c r="G9" t="str">
        <f t="shared" si="0"/>
        <v>Germany+Grocery</v>
      </c>
    </row>
    <row r="10" spans="1:7" x14ac:dyDescent="0.2">
      <c r="A10" t="s">
        <v>1</v>
      </c>
      <c r="B10" t="s">
        <v>16</v>
      </c>
      <c r="C10">
        <v>17</v>
      </c>
      <c r="D10" s="1">
        <v>1754.65</v>
      </c>
      <c r="E10">
        <v>29829</v>
      </c>
      <c r="G10" t="str">
        <f t="shared" si="0"/>
        <v>UAE+Fashion</v>
      </c>
    </row>
    <row r="11" spans="1:7" x14ac:dyDescent="0.2">
      <c r="A11" t="s">
        <v>7</v>
      </c>
      <c r="B11" t="s">
        <v>15</v>
      </c>
      <c r="C11">
        <v>12</v>
      </c>
      <c r="D11" s="1">
        <v>1746.04</v>
      </c>
      <c r="E11">
        <v>20952.53</v>
      </c>
      <c r="G11" t="str">
        <f t="shared" si="0"/>
        <v>Pakistan+Electronics</v>
      </c>
    </row>
    <row r="12" spans="1:7" x14ac:dyDescent="0.2">
      <c r="A12" t="s">
        <v>6</v>
      </c>
      <c r="B12" t="s">
        <v>15</v>
      </c>
      <c r="C12">
        <v>12</v>
      </c>
      <c r="D12" s="1">
        <v>1724.48</v>
      </c>
      <c r="E12">
        <v>20693.759999999998</v>
      </c>
      <c r="G12" t="str">
        <f t="shared" si="0"/>
        <v>China+Electronics</v>
      </c>
    </row>
    <row r="13" spans="1:7" x14ac:dyDescent="0.2">
      <c r="A13" t="s">
        <v>5</v>
      </c>
      <c r="B13" t="s">
        <v>13</v>
      </c>
      <c r="C13">
        <v>17</v>
      </c>
      <c r="D13" s="1">
        <v>1638.69</v>
      </c>
      <c r="E13">
        <v>27857.75</v>
      </c>
      <c r="G13" t="str">
        <f t="shared" si="0"/>
        <v>Australia+Home Decor</v>
      </c>
    </row>
    <row r="14" spans="1:7" x14ac:dyDescent="0.2">
      <c r="A14" t="s">
        <v>0</v>
      </c>
      <c r="B14" t="s">
        <v>13</v>
      </c>
      <c r="C14">
        <v>24</v>
      </c>
      <c r="D14" s="1">
        <v>1632.12</v>
      </c>
      <c r="E14">
        <v>39170.910000000003</v>
      </c>
      <c r="G14" t="str">
        <f t="shared" si="0"/>
        <v>USA+Home Decor</v>
      </c>
    </row>
    <row r="15" spans="1:7" x14ac:dyDescent="0.2">
      <c r="A15" t="s">
        <v>6</v>
      </c>
      <c r="B15" t="s">
        <v>18</v>
      </c>
      <c r="C15">
        <v>16</v>
      </c>
      <c r="D15" s="1">
        <v>1600.76</v>
      </c>
      <c r="E15">
        <v>25612.12</v>
      </c>
      <c r="G15" t="str">
        <f t="shared" si="0"/>
        <v>China+Toys</v>
      </c>
    </row>
    <row r="16" spans="1:7" x14ac:dyDescent="0.2">
      <c r="A16" t="s">
        <v>0</v>
      </c>
      <c r="B16" t="s">
        <v>15</v>
      </c>
      <c r="C16">
        <v>18</v>
      </c>
      <c r="D16" s="1">
        <v>1518.71</v>
      </c>
      <c r="E16">
        <v>27336.720000000001</v>
      </c>
      <c r="G16" t="str">
        <f t="shared" si="0"/>
        <v>USA+Electronics</v>
      </c>
    </row>
    <row r="18" spans="1:1" ht="19" x14ac:dyDescent="0.25">
      <c r="A18" t="s">
        <v>36</v>
      </c>
    </row>
    <row r="20" spans="1:1" ht="272" x14ac:dyDescent="0.2">
      <c r="A20" s="6" t="s">
        <v>39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09023-6990-E646-8E9F-678F519F0A70}">
  <dimension ref="A1:D16"/>
  <sheetViews>
    <sheetView workbookViewId="0">
      <selection activeCell="F1" sqref="F1"/>
    </sheetView>
  </sheetViews>
  <sheetFormatPr baseColWidth="10" defaultRowHeight="16" x14ac:dyDescent="0.2"/>
  <cols>
    <col min="1" max="1" width="27.6640625" customWidth="1"/>
    <col min="3" max="3" width="13.33203125" bestFit="1" customWidth="1"/>
    <col min="4" max="4" width="15.33203125" style="1" bestFit="1" customWidth="1"/>
  </cols>
  <sheetData>
    <row r="1" spans="1:4" ht="19" x14ac:dyDescent="0.25">
      <c r="A1" s="2" t="s">
        <v>29</v>
      </c>
      <c r="B1" s="2" t="s">
        <v>30</v>
      </c>
      <c r="C1" s="2" t="s">
        <v>27</v>
      </c>
      <c r="D1" s="3" t="s">
        <v>25</v>
      </c>
    </row>
    <row r="2" spans="1:4" x14ac:dyDescent="0.2">
      <c r="A2">
        <v>2025</v>
      </c>
      <c r="B2">
        <v>1</v>
      </c>
      <c r="C2">
        <v>138</v>
      </c>
      <c r="D2" s="1">
        <v>162944.57999999999</v>
      </c>
    </row>
    <row r="3" spans="1:4" x14ac:dyDescent="0.2">
      <c r="A3">
        <v>2025</v>
      </c>
      <c r="B3">
        <v>2</v>
      </c>
      <c r="C3">
        <v>98</v>
      </c>
      <c r="D3" s="1">
        <v>127450.66</v>
      </c>
    </row>
    <row r="4" spans="1:4" x14ac:dyDescent="0.2">
      <c r="A4">
        <v>2025</v>
      </c>
      <c r="B4">
        <v>3</v>
      </c>
      <c r="C4">
        <v>124</v>
      </c>
      <c r="D4" s="1">
        <v>141141.78</v>
      </c>
    </row>
    <row r="5" spans="1:4" x14ac:dyDescent="0.2">
      <c r="A5">
        <v>2025</v>
      </c>
      <c r="B5">
        <v>4</v>
      </c>
      <c r="C5">
        <v>128</v>
      </c>
      <c r="D5" s="1">
        <v>158166.28</v>
      </c>
    </row>
    <row r="6" spans="1:4" x14ac:dyDescent="0.2">
      <c r="A6">
        <v>2025</v>
      </c>
      <c r="B6">
        <v>5</v>
      </c>
      <c r="C6">
        <v>124</v>
      </c>
      <c r="D6" s="1">
        <v>160141.26</v>
      </c>
    </row>
    <row r="7" spans="1:4" x14ac:dyDescent="0.2">
      <c r="A7">
        <v>2025</v>
      </c>
      <c r="B7">
        <v>6</v>
      </c>
      <c r="C7">
        <v>109</v>
      </c>
      <c r="D7" s="1">
        <v>138792.41</v>
      </c>
    </row>
    <row r="8" spans="1:4" x14ac:dyDescent="0.2">
      <c r="A8">
        <v>2025</v>
      </c>
      <c r="B8">
        <v>7</v>
      </c>
      <c r="C8">
        <v>132</v>
      </c>
      <c r="D8" s="1">
        <v>180208.16</v>
      </c>
    </row>
    <row r="9" spans="1:4" x14ac:dyDescent="0.2">
      <c r="A9">
        <v>2025</v>
      </c>
      <c r="B9">
        <v>8</v>
      </c>
      <c r="C9">
        <v>105</v>
      </c>
      <c r="D9" s="1">
        <v>137276.89000000001</v>
      </c>
    </row>
    <row r="10" spans="1:4" x14ac:dyDescent="0.2">
      <c r="A10">
        <v>2025</v>
      </c>
      <c r="B10">
        <v>9</v>
      </c>
      <c r="C10">
        <v>114</v>
      </c>
      <c r="D10" s="1">
        <v>135177.5</v>
      </c>
    </row>
    <row r="11" spans="1:4" x14ac:dyDescent="0.2">
      <c r="A11">
        <v>2025</v>
      </c>
      <c r="B11">
        <v>10</v>
      </c>
      <c r="C11">
        <v>123</v>
      </c>
      <c r="D11" s="1">
        <v>158668.22</v>
      </c>
    </row>
    <row r="12" spans="1:4" x14ac:dyDescent="0.2">
      <c r="A12">
        <v>2025</v>
      </c>
      <c r="B12">
        <v>11</v>
      </c>
      <c r="C12">
        <v>5</v>
      </c>
      <c r="D12" s="1">
        <v>12285.24</v>
      </c>
    </row>
    <row r="14" spans="1:4" ht="19" x14ac:dyDescent="0.25">
      <c r="A14" t="s">
        <v>36</v>
      </c>
    </row>
    <row r="16" spans="1:4" ht="340" x14ac:dyDescent="0.2">
      <c r="A16" s="5" t="s">
        <v>40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0D04-FB4C-7D4F-893A-5C7C728E466E}">
  <dimension ref="A1:G15"/>
  <sheetViews>
    <sheetView workbookViewId="0">
      <selection activeCell="F1" sqref="F1"/>
    </sheetView>
  </sheetViews>
  <sheetFormatPr baseColWidth="10" defaultRowHeight="16" x14ac:dyDescent="0.2"/>
  <cols>
    <col min="1" max="1" width="34.6640625" customWidth="1"/>
    <col min="3" max="3" width="15.33203125" bestFit="1" customWidth="1"/>
    <col min="4" max="4" width="12.83203125" bestFit="1" customWidth="1"/>
    <col min="5" max="5" width="17.1640625" bestFit="1" customWidth="1"/>
    <col min="7" max="7" width="19.6640625" bestFit="1" customWidth="1"/>
  </cols>
  <sheetData>
    <row r="1" spans="1:7" ht="19" x14ac:dyDescent="0.25">
      <c r="A1" s="2" t="s">
        <v>26</v>
      </c>
      <c r="B1" s="2" t="s">
        <v>21</v>
      </c>
      <c r="C1" s="2" t="s">
        <v>25</v>
      </c>
      <c r="D1" s="2" t="s">
        <v>31</v>
      </c>
      <c r="E1" s="2" t="s">
        <v>24</v>
      </c>
    </row>
    <row r="2" spans="1:7" x14ac:dyDescent="0.2">
      <c r="A2" t="s">
        <v>0</v>
      </c>
      <c r="B2" t="s">
        <v>13</v>
      </c>
      <c r="C2">
        <v>39170.910000000003</v>
      </c>
      <c r="D2">
        <v>24</v>
      </c>
      <c r="E2">
        <v>1632.12</v>
      </c>
      <c r="G2" t="str">
        <f>A2&amp;"+"&amp;B2</f>
        <v>USA+Home Decor</v>
      </c>
    </row>
    <row r="3" spans="1:7" x14ac:dyDescent="0.2">
      <c r="A3" t="s">
        <v>3</v>
      </c>
      <c r="B3" t="s">
        <v>13</v>
      </c>
      <c r="C3">
        <v>34301.58</v>
      </c>
      <c r="D3">
        <v>19</v>
      </c>
      <c r="E3">
        <v>1805.35</v>
      </c>
      <c r="G3" t="str">
        <f t="shared" ref="G3:G11" si="0">A3&amp;"+"&amp;B3</f>
        <v>Brazil+Home Decor</v>
      </c>
    </row>
    <row r="4" spans="1:7" x14ac:dyDescent="0.2">
      <c r="A4" t="s">
        <v>1</v>
      </c>
      <c r="B4" t="s">
        <v>13</v>
      </c>
      <c r="C4">
        <v>33817.269999999997</v>
      </c>
      <c r="D4">
        <v>19</v>
      </c>
      <c r="E4">
        <v>1779.86</v>
      </c>
      <c r="G4" t="str">
        <f t="shared" si="0"/>
        <v>UAE+Home Decor</v>
      </c>
    </row>
    <row r="5" spans="1:7" x14ac:dyDescent="0.2">
      <c r="A5" t="s">
        <v>3</v>
      </c>
      <c r="B5" t="s">
        <v>14</v>
      </c>
      <c r="C5">
        <v>32244.06</v>
      </c>
      <c r="D5">
        <v>18</v>
      </c>
      <c r="E5">
        <v>1791.34</v>
      </c>
      <c r="G5" t="str">
        <f t="shared" si="0"/>
        <v>Brazil+Grocery</v>
      </c>
    </row>
    <row r="6" spans="1:7" x14ac:dyDescent="0.2">
      <c r="A6" t="s">
        <v>0</v>
      </c>
      <c r="B6" t="s">
        <v>19</v>
      </c>
      <c r="C6">
        <v>30721.58</v>
      </c>
      <c r="D6">
        <v>17</v>
      </c>
      <c r="E6">
        <v>1807.15</v>
      </c>
      <c r="G6" t="str">
        <f t="shared" si="0"/>
        <v>USA+Beauty</v>
      </c>
    </row>
    <row r="7" spans="1:7" x14ac:dyDescent="0.2">
      <c r="A7" t="s">
        <v>1</v>
      </c>
      <c r="B7" t="s">
        <v>16</v>
      </c>
      <c r="C7">
        <v>29829</v>
      </c>
      <c r="D7">
        <v>17</v>
      </c>
      <c r="E7">
        <v>1754.65</v>
      </c>
      <c r="G7" t="str">
        <f t="shared" si="0"/>
        <v>UAE+Fashion</v>
      </c>
    </row>
    <row r="8" spans="1:7" x14ac:dyDescent="0.2">
      <c r="A8" t="s">
        <v>7</v>
      </c>
      <c r="B8" t="s">
        <v>14</v>
      </c>
      <c r="C8">
        <v>28165.42</v>
      </c>
      <c r="D8">
        <v>23</v>
      </c>
      <c r="E8">
        <v>1224.58</v>
      </c>
      <c r="G8" t="str">
        <f t="shared" si="0"/>
        <v>Pakistan+Grocery</v>
      </c>
    </row>
    <row r="9" spans="1:7" x14ac:dyDescent="0.2">
      <c r="A9" t="s">
        <v>5</v>
      </c>
      <c r="B9" t="s">
        <v>13</v>
      </c>
      <c r="C9">
        <v>27857.75</v>
      </c>
      <c r="D9">
        <v>17</v>
      </c>
      <c r="E9">
        <v>1638.69</v>
      </c>
      <c r="G9" t="str">
        <f t="shared" si="0"/>
        <v>Australia+Home Decor</v>
      </c>
    </row>
    <row r="10" spans="1:7" x14ac:dyDescent="0.2">
      <c r="A10" t="s">
        <v>4</v>
      </c>
      <c r="B10" t="s">
        <v>18</v>
      </c>
      <c r="C10">
        <v>27492.62</v>
      </c>
      <c r="D10">
        <v>23</v>
      </c>
      <c r="E10">
        <v>1195.33</v>
      </c>
      <c r="G10" t="str">
        <f t="shared" si="0"/>
        <v>India+Toys</v>
      </c>
    </row>
    <row r="11" spans="1:7" x14ac:dyDescent="0.2">
      <c r="A11" t="s">
        <v>0</v>
      </c>
      <c r="B11" t="s">
        <v>15</v>
      </c>
      <c r="C11">
        <v>27336.720000000001</v>
      </c>
      <c r="D11">
        <v>18</v>
      </c>
      <c r="E11">
        <v>1518.71</v>
      </c>
      <c r="G11" t="str">
        <f t="shared" si="0"/>
        <v>USA+Electronics</v>
      </c>
    </row>
    <row r="13" spans="1:7" ht="19" x14ac:dyDescent="0.25">
      <c r="A13" t="s">
        <v>36</v>
      </c>
    </row>
    <row r="15" spans="1:7" ht="255" x14ac:dyDescent="0.2">
      <c r="A15" s="5" t="s">
        <v>41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A276-D509-F448-8CD7-8CA65EF92E73}">
  <dimension ref="A1:E15"/>
  <sheetViews>
    <sheetView tabSelected="1" workbookViewId="0">
      <selection activeCell="E1" sqref="E1"/>
    </sheetView>
  </sheetViews>
  <sheetFormatPr baseColWidth="10" defaultRowHeight="16" x14ac:dyDescent="0.2"/>
  <cols>
    <col min="1" max="1" width="33" customWidth="1"/>
    <col min="2" max="2" width="16.83203125" bestFit="1" customWidth="1"/>
    <col min="3" max="3" width="12.1640625" bestFit="1" customWidth="1"/>
    <col min="4" max="4" width="20.5" style="1" bestFit="1" customWidth="1"/>
    <col min="5" max="5" width="17.1640625" bestFit="1" customWidth="1"/>
  </cols>
  <sheetData>
    <row r="1" spans="1:5" ht="19" x14ac:dyDescent="0.25">
      <c r="A1" s="2" t="s">
        <v>26</v>
      </c>
      <c r="B1" s="2" t="s">
        <v>22</v>
      </c>
      <c r="C1" s="2" t="s">
        <v>28</v>
      </c>
      <c r="D1" s="3" t="s">
        <v>32</v>
      </c>
      <c r="E1" s="2" t="s">
        <v>24</v>
      </c>
    </row>
    <row r="2" spans="1:5" x14ac:dyDescent="0.2">
      <c r="A2" t="s">
        <v>0</v>
      </c>
      <c r="B2">
        <v>723</v>
      </c>
      <c r="C2">
        <v>206117.53</v>
      </c>
      <c r="D2" s="1">
        <v>5.0999999999999996</v>
      </c>
      <c r="E2">
        <v>1441.38</v>
      </c>
    </row>
    <row r="3" spans="1:5" x14ac:dyDescent="0.2">
      <c r="A3" t="s">
        <v>1</v>
      </c>
      <c r="B3">
        <v>705</v>
      </c>
      <c r="C3">
        <v>185632.17</v>
      </c>
      <c r="D3" s="1">
        <v>5.6</v>
      </c>
      <c r="E3">
        <v>1461.67</v>
      </c>
    </row>
    <row r="4" spans="1:5" x14ac:dyDescent="0.2">
      <c r="A4" t="s">
        <v>4</v>
      </c>
      <c r="B4">
        <v>653</v>
      </c>
      <c r="C4">
        <v>152189.20000000001</v>
      </c>
      <c r="D4" s="1">
        <v>5</v>
      </c>
      <c r="E4">
        <v>1170.69</v>
      </c>
    </row>
    <row r="5" spans="1:5" x14ac:dyDescent="0.2">
      <c r="A5" t="s">
        <v>3</v>
      </c>
      <c r="B5">
        <v>624</v>
      </c>
      <c r="C5">
        <v>162245.29999999999</v>
      </c>
      <c r="D5" s="1">
        <v>5.0999999999999996</v>
      </c>
      <c r="E5">
        <v>1319.07</v>
      </c>
    </row>
    <row r="6" spans="1:5" x14ac:dyDescent="0.2">
      <c r="A6" t="s">
        <v>5</v>
      </c>
      <c r="B6">
        <v>610</v>
      </c>
      <c r="C6">
        <v>151043.18</v>
      </c>
      <c r="D6" s="1">
        <v>5.0999999999999996</v>
      </c>
      <c r="E6">
        <v>1258.69</v>
      </c>
    </row>
    <row r="7" spans="1:5" x14ac:dyDescent="0.2">
      <c r="A7" t="s">
        <v>2</v>
      </c>
      <c r="B7">
        <v>598</v>
      </c>
      <c r="C7">
        <v>165844.32999999999</v>
      </c>
      <c r="D7" s="1">
        <v>5.0999999999999996</v>
      </c>
      <c r="E7">
        <v>1405.46</v>
      </c>
    </row>
    <row r="8" spans="1:5" x14ac:dyDescent="0.2">
      <c r="A8" t="s">
        <v>6</v>
      </c>
      <c r="B8">
        <v>531</v>
      </c>
      <c r="C8">
        <v>134425.70000000001</v>
      </c>
      <c r="D8" s="1">
        <v>4.9000000000000004</v>
      </c>
      <c r="E8">
        <v>1244.68</v>
      </c>
    </row>
    <row r="9" spans="1:5" x14ac:dyDescent="0.2">
      <c r="A9" t="s">
        <v>8</v>
      </c>
      <c r="B9">
        <v>531</v>
      </c>
      <c r="C9">
        <v>112635.93</v>
      </c>
      <c r="D9" s="1">
        <v>4.5999999999999996</v>
      </c>
      <c r="E9">
        <v>971</v>
      </c>
    </row>
    <row r="10" spans="1:5" x14ac:dyDescent="0.2">
      <c r="A10" t="s">
        <v>7</v>
      </c>
      <c r="B10">
        <v>520</v>
      </c>
      <c r="C10">
        <v>131479.73000000001</v>
      </c>
      <c r="D10" s="1">
        <v>4.7</v>
      </c>
      <c r="E10">
        <v>1184.5</v>
      </c>
    </row>
    <row r="11" spans="1:5" x14ac:dyDescent="0.2">
      <c r="A11" t="s">
        <v>9</v>
      </c>
      <c r="B11">
        <v>513</v>
      </c>
      <c r="C11">
        <v>110639.91</v>
      </c>
      <c r="D11" s="1">
        <v>4.9000000000000004</v>
      </c>
      <c r="E11">
        <v>1063.8499999999999</v>
      </c>
    </row>
    <row r="13" spans="1:5" ht="19" x14ac:dyDescent="0.25">
      <c r="A13" t="s">
        <v>36</v>
      </c>
    </row>
    <row r="15" spans="1:5" ht="306" x14ac:dyDescent="0.2">
      <c r="A15" s="6" t="s">
        <v>42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Q1_Country_Revenue</vt:lpstr>
      <vt:lpstr>Q2 Category Analysis</vt:lpstr>
      <vt:lpstr>Q3_AOV_Analysis</vt:lpstr>
      <vt:lpstr> Q4_Monthly_Trends</vt:lpstr>
      <vt:lpstr>Q5_Top_Combinations</vt:lpstr>
      <vt:lpstr>Q6_Quantity_Revenue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Taha Muhammad</dc:creator>
  <cp:lastModifiedBy>Taha Muhammad</cp:lastModifiedBy>
  <dcterms:created xsi:type="dcterms:W3CDTF">2026-03-30T22:28:06Z</dcterms:created>
  <dcterms:modified xsi:type="dcterms:W3CDTF">2026-04-02T21:43:10Z</dcterms:modified>
</cp:coreProperties>
</file>